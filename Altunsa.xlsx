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E1823CB-3A1E-49A2-A3FB-5C4840CAF895}" xr6:coauthVersionLast="47" xr6:coauthVersionMax="47" xr10:uidLastSave="{00000000-0000-0000-0000-000000000000}"/>
  <bookViews>
    <workbookView xWindow="-108" yWindow="-108" windowWidth="23256" windowHeight="12456" xr2:uid="{13D37990-E9B5-4FC6-B285-BCF80C80A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46" i="1"/>
  <c r="B20" i="1"/>
  <c r="C3" i="1"/>
  <c r="D3" i="1"/>
  <c r="C7" i="1"/>
  <c r="D7" i="1"/>
  <c r="C10" i="1"/>
  <c r="D10" i="1"/>
  <c r="C14" i="1"/>
  <c r="D14" i="1"/>
  <c r="C18" i="1"/>
  <c r="D18" i="1"/>
  <c r="D24" i="1"/>
  <c r="C24" i="1"/>
  <c r="D30" i="1"/>
  <c r="C30" i="1"/>
  <c r="C34" i="1"/>
  <c r="D34" i="1"/>
  <c r="C40" i="1"/>
  <c r="D40" i="1"/>
</calcChain>
</file>

<file path=xl/sharedStrings.xml><?xml version="1.0" encoding="utf-8"?>
<sst xmlns="http://schemas.openxmlformats.org/spreadsheetml/2006/main" count="73" uniqueCount="43">
  <si>
    <t>Ürün</t>
  </si>
  <si>
    <t>Packing</t>
  </si>
  <si>
    <t>Ruloların kalan ağırlığı(kg)</t>
  </si>
  <si>
    <t>Paket Sayısı</t>
  </si>
  <si>
    <t>BOX(6)</t>
  </si>
  <si>
    <t>BOX(2)</t>
  </si>
  <si>
    <t>BOX(100)</t>
  </si>
  <si>
    <t>BOX(4)</t>
  </si>
  <si>
    <t>BOX(24)</t>
  </si>
  <si>
    <t>Toplam</t>
  </si>
  <si>
    <t>Altunsa Çuval 10kg</t>
  </si>
  <si>
    <t>Altunsa Çuval 20kg</t>
  </si>
  <si>
    <t>BOX(1)</t>
  </si>
  <si>
    <t>BOX(?)</t>
  </si>
  <si>
    <t xml:space="preserve">Altunsa Toz deterjanı manual 9kg Gül </t>
  </si>
  <si>
    <t xml:space="preserve">Altunsa Toz deterjanı manual 9kg Spring  </t>
  </si>
  <si>
    <t xml:space="preserve">Altunsa Toz deterjanı manual 9kg Limon </t>
  </si>
  <si>
    <t xml:space="preserve">Altunsa Toz deterjanı manual 9kg Siyah </t>
  </si>
  <si>
    <t>Altunsa Toz deterjanı matik 2kg Ultra</t>
  </si>
  <si>
    <t>Altunsa Toz deterjanı manual 5kg Spring</t>
  </si>
  <si>
    <t>Altunsa Toz deterjanı manual 5kg Gül</t>
  </si>
  <si>
    <t xml:space="preserve">Altunsa Toz deterjanı manual 3kg Siyah </t>
  </si>
  <si>
    <t xml:space="preserve">Altunsa Toz deterjanı manual 3kg Limon </t>
  </si>
  <si>
    <t xml:space="preserve">Altunsa Toz deterjanı manual 3kg Spring  </t>
  </si>
  <si>
    <t xml:space="preserve">Altunsa Toz deterjanı manual 3kg Gül </t>
  </si>
  <si>
    <t xml:space="preserve">Altunsa Toz deterjanı manual 500g Spring </t>
  </si>
  <si>
    <t xml:space="preserve">Altunsa Toz deterjanı manual 500g Gül </t>
  </si>
  <si>
    <t>Altunsa Toz deterjanı matik 9kg Babilon Gardens</t>
  </si>
  <si>
    <t>Altunsa Toz deterjanı matik 9kg Secret Gardens</t>
  </si>
  <si>
    <t>Altunsa Toz deterjanı matik 3kg Babilon Gardens</t>
  </si>
  <si>
    <t>Altunsa Toz deterjanı matik 3kg Secret Gardens</t>
  </si>
  <si>
    <t>Altunsa Toz deterjanı matik 2kg Diamond</t>
  </si>
  <si>
    <t>Altunsa Toz deterjanı matik 150g Babilon Gardens</t>
  </si>
  <si>
    <t>Altunsa Toz deterjanı matik 150g Secret Gardens</t>
  </si>
  <si>
    <t>Altunsa Toz deterjanı matik 125g diamond</t>
  </si>
  <si>
    <t>Altunsa Toz deterjanı matik 3kg Gül</t>
  </si>
  <si>
    <t>Altunsa Toz deterjanı matik 2kg Spring</t>
  </si>
  <si>
    <t>Bu ürün daha önce üretime girmedi.</t>
  </si>
  <si>
    <t>Ton</t>
  </si>
  <si>
    <t>TON</t>
  </si>
  <si>
    <t>Toplam Matik Toz</t>
  </si>
  <si>
    <t>Toplam Manual Toz</t>
  </si>
  <si>
    <t>Toplam Matik ve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</si>
</sst>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36"/>
      <color theme="1"/>
      <name val="Times New Roman"/>
      <family val="1"/>
    </font>
    <font>
      <b/>
      <sz val="36"/>
      <color theme="1"/>
      <name val="Times New Roman"/>
      <family val="1"/>
    </font>
    <font>
      <b/>
      <i/>
      <sz val="36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8AA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3" fontId="2" fillId="5" borderId="1" xfId="1" applyNumberFormat="1" applyFont="1" applyFill="1" applyBorder="1" applyAlignment="1">
      <alignment horizontal="center" vertical="center"/>
    </xf>
    <xf numFmtId="3" fontId="2" fillId="5" borderId="3" xfId="1" applyNumberFormat="1" applyFont="1" applyFill="1" applyBorder="1" applyAlignment="1">
      <alignment horizontal="center" vertical="center"/>
    </xf>
    <xf numFmtId="3" fontId="2" fillId="5" borderId="4" xfId="1" applyNumberFormat="1" applyFont="1" applyFill="1" applyBorder="1" applyAlignment="1">
      <alignment horizontal="center" vertical="center"/>
    </xf>
    <xf numFmtId="3" fontId="2" fillId="5" borderId="2" xfId="1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/>
    <xf numFmtId="3" fontId="4" fillId="3" borderId="1" xfId="1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3" fontId="4" fillId="4" borderId="5" xfId="1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3" fontId="4" fillId="4" borderId="6" xfId="1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3" fontId="4" fillId="6" borderId="6" xfId="1" applyNumberFormat="1" applyFont="1" applyFill="1" applyBorder="1" applyAlignment="1">
      <alignment horizontal="center" vertical="center"/>
    </xf>
    <xf numFmtId="3" fontId="6" fillId="6" borderId="6" xfId="1" applyNumberFormat="1" applyFont="1" applyFill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3" fontId="5" fillId="6" borderId="9" xfId="1" applyNumberFormat="1" applyFont="1" applyFill="1" applyBorder="1" applyAlignment="1">
      <alignment horizontal="center" vertical="center"/>
    </xf>
    <xf numFmtId="3" fontId="6" fillId="6" borderId="9" xfId="1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7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5353-4E90-4ABC-973B-9F11246A8514}">
  <dimension ref="A1:L58"/>
  <sheetViews>
    <sheetView tabSelected="1" topLeftCell="A13" zoomScale="70" zoomScaleNormal="70" workbookViewId="0">
      <selection activeCell="F52" sqref="F52"/>
    </sheetView>
  </sheetViews>
  <sheetFormatPr defaultRowHeight="14.4" x14ac:dyDescent="0.3"/>
  <cols>
    <col min="1" max="1" width="87.88671875" bestFit="1" customWidth="1"/>
    <col min="2" max="2" width="26.109375" bestFit="1" customWidth="1"/>
    <col min="3" max="3" width="46.77734375" bestFit="1" customWidth="1"/>
    <col min="4" max="4" width="22.21875" bestFit="1" customWidth="1"/>
    <col min="5" max="5" width="14.21875" customWidth="1"/>
    <col min="6" max="6" width="11.44140625" customWidth="1"/>
  </cols>
  <sheetData>
    <row r="1" spans="1:5" ht="28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39</v>
      </c>
    </row>
    <row r="2" spans="1:5" ht="28.8" thickBot="1" x14ac:dyDescent="0.35">
      <c r="A2" s="3" t="s">
        <v>34</v>
      </c>
      <c r="B2" s="4" t="s">
        <v>6</v>
      </c>
      <c r="C2" s="5">
        <v>820</v>
      </c>
      <c r="D2" s="5">
        <v>1822</v>
      </c>
      <c r="E2" s="18"/>
    </row>
    <row r="3" spans="1:5" ht="28.8" thickBot="1" x14ac:dyDescent="0.35">
      <c r="A3" s="9"/>
      <c r="B3" s="1" t="s">
        <v>9</v>
      </c>
      <c r="C3" s="11">
        <f>SUM(C2)</f>
        <v>820</v>
      </c>
      <c r="D3" s="10">
        <f>SUM(D2)</f>
        <v>1822</v>
      </c>
      <c r="E3" s="18">
        <v>23</v>
      </c>
    </row>
    <row r="4" spans="1:5" ht="28.8" thickBot="1" x14ac:dyDescent="0.35">
      <c r="A4" s="23"/>
      <c r="B4" s="23"/>
      <c r="C4" s="23"/>
      <c r="D4" s="23"/>
      <c r="E4" s="23"/>
    </row>
    <row r="5" spans="1:5" ht="28.8" thickBot="1" x14ac:dyDescent="0.35">
      <c r="A5" s="3" t="s">
        <v>33</v>
      </c>
      <c r="B5" s="4" t="s">
        <v>6</v>
      </c>
      <c r="C5" s="5">
        <v>1000</v>
      </c>
      <c r="D5" s="5">
        <v>2298</v>
      </c>
      <c r="E5" s="18"/>
    </row>
    <row r="6" spans="1:5" ht="28.8" thickBot="1" x14ac:dyDescent="0.35">
      <c r="A6" s="3" t="s">
        <v>32</v>
      </c>
      <c r="B6" s="4" t="s">
        <v>6</v>
      </c>
      <c r="C6" s="5">
        <v>1100</v>
      </c>
      <c r="D6" s="5">
        <v>2528</v>
      </c>
      <c r="E6" s="18"/>
    </row>
    <row r="7" spans="1:5" ht="28.8" thickBot="1" x14ac:dyDescent="0.35">
      <c r="A7" s="9"/>
      <c r="B7" s="1" t="s">
        <v>9</v>
      </c>
      <c r="C7" s="11">
        <f>SUM(C5:C6)</f>
        <v>2100</v>
      </c>
      <c r="D7" s="10">
        <f>SUM(D5:D6)</f>
        <v>4826</v>
      </c>
      <c r="E7" s="18">
        <v>73</v>
      </c>
    </row>
    <row r="8" spans="1:5" ht="28.8" thickBot="1" x14ac:dyDescent="0.35">
      <c r="A8" s="23"/>
      <c r="B8" s="23"/>
      <c r="C8" s="23"/>
      <c r="D8" s="23"/>
      <c r="E8" s="23"/>
    </row>
    <row r="9" spans="1:5" ht="28.8" thickBot="1" x14ac:dyDescent="0.35">
      <c r="A9" s="3" t="s">
        <v>31</v>
      </c>
      <c r="B9" s="4" t="s">
        <v>4</v>
      </c>
      <c r="C9" s="5">
        <v>22480</v>
      </c>
      <c r="D9" s="5">
        <v>79716</v>
      </c>
      <c r="E9" s="18"/>
    </row>
    <row r="10" spans="1:5" ht="28.8" thickBot="1" x14ac:dyDescent="0.35">
      <c r="A10" s="9"/>
      <c r="B10" s="1" t="s">
        <v>9</v>
      </c>
      <c r="C10" s="11">
        <f>SUM(C9)</f>
        <v>22480</v>
      </c>
      <c r="D10" s="10">
        <f>SUM(D9)</f>
        <v>79716</v>
      </c>
      <c r="E10" s="18">
        <v>1036.3</v>
      </c>
    </row>
    <row r="11" spans="1:5" ht="28.8" thickBot="1" x14ac:dyDescent="0.35">
      <c r="A11" s="23"/>
      <c r="B11" s="23"/>
      <c r="C11" s="23"/>
      <c r="D11" s="23"/>
      <c r="E11" s="23"/>
    </row>
    <row r="12" spans="1:5" ht="28.8" thickBot="1" x14ac:dyDescent="0.35">
      <c r="A12" s="3" t="s">
        <v>30</v>
      </c>
      <c r="B12" s="4" t="s">
        <v>7</v>
      </c>
      <c r="C12" s="5">
        <v>2760</v>
      </c>
      <c r="D12" s="5">
        <v>20000</v>
      </c>
      <c r="E12" s="18"/>
    </row>
    <row r="13" spans="1:5" ht="28.8" thickBot="1" x14ac:dyDescent="0.35">
      <c r="A13" s="3" t="s">
        <v>29</v>
      </c>
      <c r="B13" s="4" t="s">
        <v>7</v>
      </c>
      <c r="C13" s="5">
        <v>3000</v>
      </c>
      <c r="D13" s="5">
        <v>21739</v>
      </c>
      <c r="E13" s="18"/>
    </row>
    <row r="14" spans="1:5" ht="28.8" thickBot="1" x14ac:dyDescent="0.35">
      <c r="A14" s="9"/>
      <c r="B14" s="1" t="s">
        <v>9</v>
      </c>
      <c r="C14" s="11">
        <f>SUM(C12:C13)</f>
        <v>5760</v>
      </c>
      <c r="D14" s="10">
        <f>SUM(D12:D13)</f>
        <v>41739</v>
      </c>
      <c r="E14" s="18">
        <v>534.25</v>
      </c>
    </row>
    <row r="15" spans="1:5" ht="28.8" thickBot="1" x14ac:dyDescent="0.35">
      <c r="A15" s="23"/>
      <c r="B15" s="23"/>
      <c r="C15" s="23"/>
      <c r="D15" s="23"/>
      <c r="E15" s="23"/>
    </row>
    <row r="16" spans="1:5" ht="28.8" thickBot="1" x14ac:dyDescent="0.35">
      <c r="A16" s="3" t="s">
        <v>28</v>
      </c>
      <c r="B16" s="4" t="s">
        <v>5</v>
      </c>
      <c r="C16" s="5">
        <v>3000</v>
      </c>
      <c r="D16" s="5">
        <v>16304</v>
      </c>
      <c r="E16" s="18"/>
    </row>
    <row r="17" spans="1:12" ht="28.8" thickBot="1" x14ac:dyDescent="0.35">
      <c r="A17" s="3" t="s">
        <v>27</v>
      </c>
      <c r="B17" s="4" t="s">
        <v>5</v>
      </c>
      <c r="C17" s="5">
        <v>2760</v>
      </c>
      <c r="D17" s="5">
        <v>15000</v>
      </c>
      <c r="E17" s="18"/>
    </row>
    <row r="18" spans="1:12" ht="28.8" thickBot="1" x14ac:dyDescent="0.35">
      <c r="A18" s="9"/>
      <c r="B18" s="1" t="s">
        <v>9</v>
      </c>
      <c r="C18" s="11">
        <f>SUM(C16:C17)</f>
        <v>5760</v>
      </c>
      <c r="D18" s="10">
        <f>SUM(D16:D17)</f>
        <v>31304</v>
      </c>
      <c r="E18" s="18">
        <v>588.5</v>
      </c>
    </row>
    <row r="19" spans="1:12" ht="37.200000000000003" customHeight="1" thickBot="1" x14ac:dyDescent="0.35"/>
    <row r="20" spans="1:12" ht="77.400000000000006" customHeight="1" thickBot="1" x14ac:dyDescent="0.35">
      <c r="A20" s="25" t="s">
        <v>40</v>
      </c>
      <c r="B20" s="25">
        <f>E18+E14+E10+E7+E3</f>
        <v>2255.0500000000002</v>
      </c>
      <c r="C20" s="26" t="s">
        <v>39</v>
      </c>
    </row>
    <row r="21" spans="1:12" ht="37.200000000000003" customHeight="1" thickBot="1" x14ac:dyDescent="0.35"/>
    <row r="22" spans="1:12" ht="28.8" thickBot="1" x14ac:dyDescent="0.35">
      <c r="A22" s="6" t="s">
        <v>26</v>
      </c>
      <c r="B22" s="7" t="s">
        <v>8</v>
      </c>
      <c r="C22" s="8">
        <v>0</v>
      </c>
      <c r="D22" s="8">
        <v>0</v>
      </c>
      <c r="E22" s="19"/>
    </row>
    <row r="23" spans="1:12" ht="28.8" thickBot="1" x14ac:dyDescent="0.35">
      <c r="A23" s="6" t="s">
        <v>25</v>
      </c>
      <c r="B23" s="7" t="s">
        <v>8</v>
      </c>
      <c r="C23" s="8">
        <v>1000</v>
      </c>
      <c r="D23" s="8">
        <v>4166</v>
      </c>
      <c r="E23" s="18"/>
    </row>
    <row r="24" spans="1:12" ht="28.8" thickBot="1" x14ac:dyDescent="0.35">
      <c r="A24" s="9"/>
      <c r="B24" s="1" t="s">
        <v>9</v>
      </c>
      <c r="C24" s="11">
        <f>SUM(C22:C23)</f>
        <v>1000</v>
      </c>
      <c r="D24" s="10">
        <f>SUM(D22:D23)</f>
        <v>4166</v>
      </c>
      <c r="E24" s="18">
        <v>51</v>
      </c>
    </row>
    <row r="25" spans="1:12" ht="28.8" thickBot="1" x14ac:dyDescent="0.35">
      <c r="A25" s="23"/>
      <c r="B25" s="23"/>
      <c r="C25" s="23"/>
      <c r="D25" s="23"/>
      <c r="E25" s="23"/>
    </row>
    <row r="26" spans="1:12" ht="28.8" thickBot="1" x14ac:dyDescent="0.35">
      <c r="A26" s="6" t="s">
        <v>24</v>
      </c>
      <c r="B26" s="7" t="s">
        <v>7</v>
      </c>
      <c r="C26" s="8">
        <v>3400</v>
      </c>
      <c r="D26" s="8">
        <v>23611</v>
      </c>
      <c r="E26" s="18"/>
    </row>
    <row r="27" spans="1:12" ht="28.8" thickBot="1" x14ac:dyDescent="0.35">
      <c r="A27" s="6" t="s">
        <v>23</v>
      </c>
      <c r="B27" s="7" t="s">
        <v>7</v>
      </c>
      <c r="C27" s="8">
        <v>8100</v>
      </c>
      <c r="D27" s="8">
        <v>56250</v>
      </c>
      <c r="E27" s="18"/>
    </row>
    <row r="28" spans="1:12" ht="28.8" thickBot="1" x14ac:dyDescent="0.35">
      <c r="A28" s="6" t="s">
        <v>22</v>
      </c>
      <c r="B28" s="7" t="s">
        <v>7</v>
      </c>
      <c r="C28" s="8">
        <v>16950</v>
      </c>
      <c r="D28" s="8">
        <v>117708</v>
      </c>
      <c r="E28" s="18"/>
    </row>
    <row r="29" spans="1:12" ht="28.8" thickBot="1" x14ac:dyDescent="0.35">
      <c r="A29" s="6" t="s">
        <v>21</v>
      </c>
      <c r="B29" s="7" t="s">
        <v>7</v>
      </c>
      <c r="C29" s="8">
        <v>800</v>
      </c>
      <c r="D29" s="8">
        <v>5479</v>
      </c>
      <c r="E29" s="18"/>
      <c r="F29" s="24"/>
      <c r="L29" s="24"/>
    </row>
    <row r="30" spans="1:12" ht="28.8" thickBot="1" x14ac:dyDescent="0.35">
      <c r="A30" s="9"/>
      <c r="B30" s="1" t="s">
        <v>9</v>
      </c>
      <c r="C30" s="11">
        <f>SUM(C26:C29)</f>
        <v>29250</v>
      </c>
      <c r="D30" s="10">
        <f>SUM(D26:D29)</f>
        <v>203048</v>
      </c>
      <c r="E30" s="18">
        <v>2600</v>
      </c>
      <c r="F30" s="24"/>
    </row>
    <row r="31" spans="1:12" ht="28.8" thickBot="1" x14ac:dyDescent="0.35">
      <c r="A31" s="23"/>
      <c r="B31" s="23"/>
      <c r="C31" s="23"/>
      <c r="D31" s="23"/>
      <c r="E31" s="23"/>
    </row>
    <row r="32" spans="1:12" ht="28.8" thickBot="1" x14ac:dyDescent="0.35">
      <c r="A32" s="6" t="s">
        <v>20</v>
      </c>
      <c r="B32" s="7" t="s">
        <v>7</v>
      </c>
      <c r="C32" s="8">
        <v>0</v>
      </c>
      <c r="D32" s="8">
        <v>0</v>
      </c>
      <c r="E32" s="18"/>
      <c r="F32" s="24"/>
    </row>
    <row r="33" spans="1:6" ht="28.8" thickBot="1" x14ac:dyDescent="0.35">
      <c r="A33" s="6" t="s">
        <v>19</v>
      </c>
      <c r="B33" s="7" t="s">
        <v>7</v>
      </c>
      <c r="C33" s="8">
        <v>840</v>
      </c>
      <c r="D33" s="8">
        <v>4666</v>
      </c>
      <c r="E33" s="18"/>
      <c r="F33" s="24"/>
    </row>
    <row r="34" spans="1:6" ht="28.8" thickBot="1" x14ac:dyDescent="0.35">
      <c r="A34" s="9"/>
      <c r="B34" s="1" t="s">
        <v>9</v>
      </c>
      <c r="C34" s="11">
        <f>SUM(C32:C33)</f>
        <v>840</v>
      </c>
      <c r="D34" s="10">
        <f>SUM(D32:D33)</f>
        <v>4666</v>
      </c>
      <c r="E34" s="19">
        <v>97.1</v>
      </c>
    </row>
    <row r="35" spans="1:6" ht="28.8" thickBot="1" x14ac:dyDescent="0.35">
      <c r="A35" s="23"/>
      <c r="B35" s="23"/>
      <c r="C35" s="23"/>
      <c r="D35" s="23"/>
      <c r="E35" s="23"/>
    </row>
    <row r="36" spans="1:6" ht="28.8" thickBot="1" x14ac:dyDescent="0.35">
      <c r="A36" s="6" t="s">
        <v>14</v>
      </c>
      <c r="B36" s="7" t="s">
        <v>5</v>
      </c>
      <c r="C36" s="8">
        <v>2740</v>
      </c>
      <c r="D36" s="8">
        <v>15568</v>
      </c>
      <c r="E36" s="19"/>
    </row>
    <row r="37" spans="1:6" ht="28.8" thickBot="1" x14ac:dyDescent="0.35">
      <c r="A37" s="6" t="s">
        <v>15</v>
      </c>
      <c r="B37" s="7" t="s">
        <v>5</v>
      </c>
      <c r="C37" s="8">
        <v>1080</v>
      </c>
      <c r="D37" s="8">
        <v>6136</v>
      </c>
      <c r="E37" s="18"/>
    </row>
    <row r="38" spans="1:6" ht="28.8" thickBot="1" x14ac:dyDescent="0.35">
      <c r="A38" s="6" t="s">
        <v>16</v>
      </c>
      <c r="B38" s="7" t="s">
        <v>5</v>
      </c>
      <c r="C38" s="8">
        <v>6880</v>
      </c>
      <c r="D38" s="8">
        <v>39090</v>
      </c>
      <c r="E38" s="18"/>
    </row>
    <row r="39" spans="1:6" ht="28.8" thickBot="1" x14ac:dyDescent="0.35">
      <c r="A39" s="6" t="s">
        <v>17</v>
      </c>
      <c r="B39" s="7" t="s">
        <v>5</v>
      </c>
      <c r="C39" s="8">
        <v>530</v>
      </c>
      <c r="D39" s="8">
        <v>3011</v>
      </c>
      <c r="E39" s="18"/>
    </row>
    <row r="40" spans="1:6" ht="28.8" thickBot="1" x14ac:dyDescent="0.35">
      <c r="A40" s="9"/>
      <c r="B40" s="1" t="s">
        <v>9</v>
      </c>
      <c r="C40" s="11">
        <f>SUM(C36:C39)</f>
        <v>11230</v>
      </c>
      <c r="D40" s="10">
        <f>SUM(D36:D39)</f>
        <v>63805</v>
      </c>
      <c r="E40" s="18">
        <v>1199.5</v>
      </c>
    </row>
    <row r="41" spans="1:6" ht="33.6" customHeight="1" thickBot="1" x14ac:dyDescent="0.35"/>
    <row r="42" spans="1:6" ht="40.799999999999997" customHeight="1" thickBot="1" x14ac:dyDescent="0.35">
      <c r="A42" s="20"/>
      <c r="B42" s="21"/>
      <c r="C42" s="21"/>
      <c r="D42" s="21"/>
      <c r="E42" s="22"/>
    </row>
    <row r="43" spans="1:6" ht="28.8" thickBot="1" x14ac:dyDescent="0.35">
      <c r="A43" s="6" t="s">
        <v>10</v>
      </c>
      <c r="B43" s="7" t="s">
        <v>12</v>
      </c>
      <c r="C43" s="8">
        <v>12440</v>
      </c>
      <c r="D43" s="8">
        <v>12440</v>
      </c>
      <c r="E43" s="18">
        <v>125</v>
      </c>
    </row>
    <row r="44" spans="1:6" ht="28.8" thickBot="1" x14ac:dyDescent="0.35">
      <c r="A44" s="6" t="s">
        <v>11</v>
      </c>
      <c r="B44" s="7" t="s">
        <v>12</v>
      </c>
      <c r="C44" s="8">
        <v>2200</v>
      </c>
      <c r="D44" s="8">
        <v>2200</v>
      </c>
      <c r="E44" s="19">
        <v>44</v>
      </c>
    </row>
    <row r="45" spans="1:6" ht="33.6" customHeight="1" thickBot="1" x14ac:dyDescent="0.35"/>
    <row r="46" spans="1:6" ht="28.8" customHeight="1" x14ac:dyDescent="0.3">
      <c r="A46" s="27" t="s">
        <v>41</v>
      </c>
      <c r="B46" s="27">
        <f>E40+E34+E30+E24+E43+E44</f>
        <v>4116.6000000000004</v>
      </c>
      <c r="C46" s="28" t="s">
        <v>39</v>
      </c>
    </row>
    <row r="47" spans="1:6" ht="39" customHeight="1" thickBot="1" x14ac:dyDescent="0.35">
      <c r="A47" s="29"/>
      <c r="B47" s="29"/>
      <c r="C47" s="30"/>
    </row>
    <row r="49" spans="1:9" ht="15" thickBot="1" x14ac:dyDescent="0.35"/>
    <row r="50" spans="1:9" ht="25.2" customHeight="1" thickBot="1" x14ac:dyDescent="0.35">
      <c r="A50" s="37"/>
      <c r="B50" s="38"/>
      <c r="C50" s="38"/>
      <c r="D50" s="39"/>
    </row>
    <row r="51" spans="1:9" ht="29.4" customHeight="1" x14ac:dyDescent="0.3">
      <c r="A51" s="35" t="s">
        <v>42</v>
      </c>
      <c r="B51" s="36">
        <f>B46+B20</f>
        <v>6371.6500000000005</v>
      </c>
      <c r="C51" s="31" t="s">
        <v>38</v>
      </c>
      <c r="D51" s="40"/>
    </row>
    <row r="52" spans="1:9" ht="54.6" customHeight="1" thickBot="1" x14ac:dyDescent="0.35">
      <c r="A52" s="32"/>
      <c r="B52" s="33"/>
      <c r="C52" s="34"/>
      <c r="D52" s="40"/>
    </row>
    <row r="53" spans="1:9" ht="26.4" customHeight="1" thickBot="1" x14ac:dyDescent="0.35">
      <c r="A53" s="41"/>
      <c r="B53" s="42"/>
      <c r="C53" s="42"/>
      <c r="D53" s="43"/>
    </row>
    <row r="55" spans="1:9" ht="15" thickBot="1" x14ac:dyDescent="0.35"/>
    <row r="56" spans="1:9" ht="28.8" thickBot="1" x14ac:dyDescent="0.35">
      <c r="A56" s="12" t="s">
        <v>18</v>
      </c>
      <c r="B56" s="13" t="s">
        <v>13</v>
      </c>
      <c r="C56" s="14">
        <v>3000</v>
      </c>
      <c r="D56" s="15" t="s">
        <v>37</v>
      </c>
      <c r="E56" s="16"/>
      <c r="F56" s="16"/>
      <c r="G56" s="16"/>
      <c r="H56" s="16"/>
      <c r="I56" s="17"/>
    </row>
    <row r="57" spans="1:9" ht="28.8" thickBot="1" x14ac:dyDescent="0.35">
      <c r="A57" s="12" t="s">
        <v>35</v>
      </c>
      <c r="B57" s="13" t="s">
        <v>13</v>
      </c>
      <c r="C57" s="14">
        <v>4236</v>
      </c>
      <c r="D57" s="15" t="s">
        <v>37</v>
      </c>
      <c r="E57" s="16"/>
      <c r="F57" s="16"/>
      <c r="G57" s="16"/>
      <c r="H57" s="16"/>
      <c r="I57" s="17"/>
    </row>
    <row r="58" spans="1:9" ht="28.8" thickBot="1" x14ac:dyDescent="0.35">
      <c r="A58" s="12" t="s">
        <v>36</v>
      </c>
      <c r="B58" s="13" t="s">
        <v>13</v>
      </c>
      <c r="C58" s="14">
        <v>127</v>
      </c>
      <c r="D58" s="15" t="s">
        <v>37</v>
      </c>
      <c r="E58" s="16"/>
      <c r="F58" s="16"/>
      <c r="G58" s="16"/>
      <c r="H58" s="16"/>
      <c r="I58" s="17"/>
    </row>
  </sheetData>
  <mergeCells count="20">
    <mergeCell ref="A8:E8"/>
    <mergeCell ref="A4:E4"/>
    <mergeCell ref="A50:D50"/>
    <mergeCell ref="A53:D53"/>
    <mergeCell ref="D51:D52"/>
    <mergeCell ref="A25:E25"/>
    <mergeCell ref="A31:E31"/>
    <mergeCell ref="A35:E35"/>
    <mergeCell ref="A15:E15"/>
    <mergeCell ref="A11:E11"/>
    <mergeCell ref="A42:E42"/>
    <mergeCell ref="A51:A52"/>
    <mergeCell ref="B51:B52"/>
    <mergeCell ref="C51:C52"/>
    <mergeCell ref="D56:I56"/>
    <mergeCell ref="D57:I57"/>
    <mergeCell ref="D58:I58"/>
    <mergeCell ref="A46:A47"/>
    <mergeCell ref="B46:B47"/>
    <mergeCell ref="C46:C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karahoca 360</dc:creator>
  <cp:lastModifiedBy>karahoca 360</cp:lastModifiedBy>
  <dcterms:created xsi:type="dcterms:W3CDTF">2026-01-30T12:40:27Z</dcterms:created>
  <dcterms:modified xsi:type="dcterms:W3CDTF">2026-01-31T10:53:56Z</dcterms:modified>
</cp:coreProperties>
</file>